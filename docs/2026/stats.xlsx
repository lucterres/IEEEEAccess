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Code\_phdSeismic\IEEE_Access\docs\"/>
    </mc:Choice>
  </mc:AlternateContent>
  <xr:revisionPtr revIDLastSave="0" documentId="8_{04280FE7-E031-4249-A0C8-9E8EBB5E134D}" xr6:coauthVersionLast="47" xr6:coauthVersionMax="47" xr10:uidLastSave="{00000000-0000-0000-0000-000000000000}"/>
  <bookViews>
    <workbookView xWindow="-105" yWindow="0" windowWidth="19410" windowHeight="21705" xr2:uid="{BC3B8325-C4BD-4081-BB01-269BE99030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F22" i="1" l="1"/>
  <c r="G22" i="1"/>
  <c r="G21" i="1"/>
  <c r="G20" i="1"/>
  <c r="D21" i="1"/>
  <c r="D22" i="1"/>
  <c r="D20" i="1"/>
  <c r="F20" i="1"/>
  <c r="F21" i="1"/>
</calcChain>
</file>

<file path=xl/sharedStrings.xml><?xml version="1.0" encoding="utf-8"?>
<sst xmlns="http://schemas.openxmlformats.org/spreadsheetml/2006/main" count="28" uniqueCount="12">
  <si>
    <t>NetherlandsF3 (compara003)</t>
  </si>
  <si>
    <t>Métrica</t>
  </si>
  <si>
    <t>N</t>
  </si>
  <si>
    <t>Média</t>
  </si>
  <si>
    <t>Mediana</t>
  </si>
  <si>
    <t>Desvio Padrão</t>
  </si>
  <si>
    <t>Mínimo</t>
  </si>
  <si>
    <t>Máximo</t>
  </si>
  <si>
    <t>MSE</t>
  </si>
  <si>
    <t>DSSIM</t>
  </si>
  <si>
    <t>LBP</t>
  </si>
  <si>
    <t>Salt_F3 (14 grupos)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</si>
</sst>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3.75"/>
      <name val="Segoe UI"/>
      <family val="2"/>
    </font>
    <font>
      <sz val="11"/>
      <name val="Calibri"/>
      <family val="2"/>
      <scheme val="minor"/>
    </font>
    <font>
      <b/>
      <sz val="11"/>
      <name val="Segoe UI"/>
      <family val="2"/>
    </font>
    <font>
      <sz val="11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righ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right" vertical="center" wrapText="1" indent="1"/>
    </xf>
    <xf numFmtId="0" fontId="5" fillId="0" borderId="0" xfId="0" applyFont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822B-82AD-4039-9F2B-E985976202BF}">
  <dimension ref="A1:J22"/>
  <sheetViews>
    <sheetView tabSelected="1" zoomScale="145" zoomScaleNormal="145" workbookViewId="0">
      <selection activeCell="C19" sqref="C19:G22"/>
    </sheetView>
  </sheetViews>
  <sheetFormatPr defaultRowHeight="15" x14ac:dyDescent="0.25"/>
  <cols>
    <col min="1" max="1" width="31.28515625" customWidth="1"/>
    <col min="2" max="2" width="9.28515625" bestFit="1" customWidth="1"/>
    <col min="3" max="3" width="9.5703125" bestFit="1" customWidth="1"/>
    <col min="4" max="4" width="13.28515625" customWidth="1"/>
    <col min="5" max="5" width="11.7109375" customWidth="1"/>
    <col min="6" max="7" width="9.5703125" bestFit="1" customWidth="1"/>
  </cols>
  <sheetData>
    <row r="1" spans="1:10" ht="12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33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2"/>
      <c r="I2" s="2"/>
      <c r="J2" s="2"/>
    </row>
    <row r="3" spans="1:10" ht="16.5" x14ac:dyDescent="0.25">
      <c r="A3" s="5" t="s">
        <v>8</v>
      </c>
      <c r="B3" s="6">
        <v>20</v>
      </c>
      <c r="C3" s="6">
        <v>1940.52</v>
      </c>
      <c r="D3" s="6">
        <v>2131.67</v>
      </c>
      <c r="E3" s="6">
        <v>782.31</v>
      </c>
      <c r="F3" s="6">
        <v>748.68</v>
      </c>
      <c r="G3" s="6">
        <v>3315.39</v>
      </c>
      <c r="H3" s="2"/>
      <c r="I3" s="2"/>
      <c r="J3" s="2"/>
    </row>
    <row r="4" spans="1:10" ht="16.5" x14ac:dyDescent="0.25">
      <c r="A4" s="5" t="s">
        <v>9</v>
      </c>
      <c r="B4" s="6">
        <v>20</v>
      </c>
      <c r="C4" s="6">
        <v>0.156</v>
      </c>
      <c r="D4" s="6">
        <v>0.16</v>
      </c>
      <c r="E4" s="6">
        <v>3.4200000000000001E-2</v>
      </c>
      <c r="F4" s="6">
        <v>0.1</v>
      </c>
      <c r="G4" s="6">
        <v>0.26</v>
      </c>
      <c r="H4" s="2"/>
      <c r="I4" s="2"/>
      <c r="J4" s="2"/>
    </row>
    <row r="5" spans="1:10" ht="16.5" x14ac:dyDescent="0.25">
      <c r="A5" s="5" t="s">
        <v>10</v>
      </c>
      <c r="B5" s="6">
        <v>20</v>
      </c>
      <c r="C5" s="6">
        <v>3.0499999999999999E-2</v>
      </c>
      <c r="D5" s="6">
        <v>0.03</v>
      </c>
      <c r="E5" s="6">
        <v>1.1900000000000001E-2</v>
      </c>
      <c r="F5" s="6">
        <v>0.02</v>
      </c>
      <c r="G5" s="6">
        <v>0.06</v>
      </c>
      <c r="H5" s="2"/>
      <c r="I5" s="2"/>
      <c r="J5" s="2"/>
    </row>
    <row r="6" spans="1:10" ht="84" x14ac:dyDescent="0.25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</row>
    <row r="7" spans="1:10" ht="33" x14ac:dyDescent="0.25">
      <c r="A7" s="3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2"/>
      <c r="I7" s="2"/>
      <c r="J7" s="2"/>
    </row>
    <row r="8" spans="1:10" ht="16.5" x14ac:dyDescent="0.25">
      <c r="A8" s="5" t="s">
        <v>8</v>
      </c>
      <c r="B8" s="6">
        <v>600</v>
      </c>
      <c r="C8" s="6">
        <v>4435.6000000000004</v>
      </c>
      <c r="D8" s="6">
        <v>4524.42</v>
      </c>
      <c r="E8" s="6">
        <v>1985.97</v>
      </c>
      <c r="F8" s="6">
        <v>1424.49</v>
      </c>
      <c r="G8" s="6">
        <v>7809.74</v>
      </c>
      <c r="H8" s="2"/>
      <c r="I8" s="2"/>
      <c r="J8" s="2"/>
    </row>
    <row r="9" spans="1:10" ht="16.5" x14ac:dyDescent="0.25">
      <c r="A9" s="5" t="s">
        <v>9</v>
      </c>
      <c r="B9" s="6">
        <v>600</v>
      </c>
      <c r="C9" s="6">
        <v>0.45850000000000002</v>
      </c>
      <c r="D9" s="6">
        <v>0.46550000000000002</v>
      </c>
      <c r="E9" s="6">
        <v>1.67E-2</v>
      </c>
      <c r="F9" s="6">
        <v>0.43099999999999999</v>
      </c>
      <c r="G9" s="6">
        <v>0.47870000000000001</v>
      </c>
      <c r="H9" s="2"/>
      <c r="I9" s="2"/>
      <c r="J9" s="2"/>
    </row>
    <row r="10" spans="1:10" ht="16.5" x14ac:dyDescent="0.25">
      <c r="A10" s="5" t="s">
        <v>10</v>
      </c>
      <c r="B10" s="6">
        <v>600</v>
      </c>
      <c r="C10" s="6">
        <v>0.1993</v>
      </c>
      <c r="D10" s="6">
        <v>0.19009999999999999</v>
      </c>
      <c r="E10" s="6">
        <v>3.44E-2</v>
      </c>
      <c r="F10" s="6">
        <v>0.15160000000000001</v>
      </c>
      <c r="G10" s="6">
        <v>0.25340000000000001</v>
      </c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>
        <v>0.25</v>
      </c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>
        <f>1-D16</f>
        <v>0.75</v>
      </c>
      <c r="E17" s="2"/>
      <c r="F17" s="2"/>
      <c r="G17" s="2"/>
      <c r="H17" s="2"/>
      <c r="I17" s="2"/>
      <c r="J17" s="2"/>
    </row>
    <row r="19" spans="1:10" x14ac:dyDescent="0.25">
      <c r="D19" s="7" t="s">
        <v>4</v>
      </c>
      <c r="E19" s="7"/>
      <c r="F19" s="7" t="s">
        <v>6</v>
      </c>
      <c r="G19" s="7" t="s">
        <v>7</v>
      </c>
    </row>
    <row r="20" spans="1:10" ht="16.5" x14ac:dyDescent="0.25">
      <c r="A20" s="5"/>
      <c r="C20" s="5" t="s">
        <v>8</v>
      </c>
      <c r="D20">
        <f>D3*$D$16+D8*$D$17</f>
        <v>3926.2325000000001</v>
      </c>
      <c r="F20">
        <f>F3*$D$16+F8*$D$17</f>
        <v>1255.5375000000001</v>
      </c>
      <c r="G20">
        <f>G3*$D$16+G8*$D$17</f>
        <v>6686.1525000000001</v>
      </c>
    </row>
    <row r="21" spans="1:10" ht="16.5" x14ac:dyDescent="0.25">
      <c r="A21" s="5"/>
      <c r="C21" s="5" t="s">
        <v>9</v>
      </c>
      <c r="D21">
        <f>D4*D$16+D9*D$17</f>
        <v>0.389125</v>
      </c>
      <c r="F21">
        <f t="shared" ref="E21:F21" si="0">F4*$D$16+F9*$D$17</f>
        <v>0.34825</v>
      </c>
      <c r="G21">
        <f t="shared" ref="G21" si="1">G4*$D$16+G9*$D$17</f>
        <v>0.42402500000000004</v>
      </c>
    </row>
    <row r="22" spans="1:10" ht="16.5" x14ac:dyDescent="0.25">
      <c r="A22" s="5"/>
      <c r="C22" s="5" t="s">
        <v>10</v>
      </c>
      <c r="D22">
        <f>D5*D$16+D10*D$17</f>
        <v>0.15007500000000001</v>
      </c>
      <c r="F22">
        <f t="shared" ref="E22:F22" si="2">F5*$D$16+F10*$D$17</f>
        <v>0.11870000000000001</v>
      </c>
      <c r="G22">
        <f t="shared" ref="G22" si="3">G5*$D$16+G10*$D$17</f>
        <v>0.20505000000000001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Terres</dc:creator>
  <cp:lastModifiedBy>Luciano Terres</cp:lastModifiedBy>
  <dcterms:created xsi:type="dcterms:W3CDTF">2026-05-15T19:53:56Z</dcterms:created>
  <dcterms:modified xsi:type="dcterms:W3CDTF">2026-05-15T21:55:09Z</dcterms:modified>
</cp:coreProperties>
</file>